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/>
  </bookViews>
  <sheets>
    <sheet name="beta_empirical_variances_fit_1_" sheetId="1" r:id="rId1"/>
  </sheets>
  <definedNames>
    <definedName name="_xlnm._FilterDatabase" localSheetId="0" hidden="1">beta_empirical_variances_fit_1_!$A$1:$I$25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<sst xmlns="http://schemas.openxmlformats.org/spreadsheetml/2006/main" count="32" uniqueCount="28">
  <si>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beta.x1</t>
  </si>
  <si>
    <t>beta.x2</t>
  </si>
  <si>
    <t>beta.x3</t>
  </si>
  <si>
    <t>beta.x1:x3</t>
  </si>
  <si>
    <t>r.beta.i</t>
  </si>
  <si>
    <t>r.beta.if.S</t>
  </si>
  <si>
    <t>r.beta.if.S.pop</t>
  </si>
  <si>
    <t>r.beta.s</t>
  </si>
  <si>
    <t>r.beta.if.s2</t>
  </si>
  <si>
    <t>r.beta.if.s2.pop</t>
  </si>
  <si>
    <t>f.beta.i</t>
  </si>
  <si>
    <t>f.beta.if.S</t>
  </si>
  <si>
    <t>f.beta.if.S.pop</t>
  </si>
  <si>
    <t>f.beta.s</t>
  </si>
  <si>
    <t>f.beta.if.s2</t>
  </si>
  <si>
    <t>f.beta.if.s2.pop</t>
  </si>
  <si>
    <t>m1.beta.i</t>
  </si>
  <si>
    <t>m1.beta.if.S</t>
  </si>
  <si>
    <t>m1.beta.if.S.pop</t>
  </si>
  <si>
    <t>m1.beta.s</t>
  </si>
  <si>
    <t>m1.beta.if.s2</t>
  </si>
  <si>
    <t>m1.beta.if.s2.pop</t>
  </si>
  <si>
    <t>m2.beta.i</t>
  </si>
  <si>
    <t>m2.beta.if.S</t>
  </si>
  <si>
    <t>m2.beta.if.S.pop</t>
  </si>
  <si>
    <t>m2.beta.s</t>
  </si>
  <si>
    <t>m2.beta.if.s2</t>
  </si>
  <si>
    <t>m2.beta.if.s2.pop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</si>
</sst>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000_ ;_ * \-#,##0.0000_ ;_ * &quot;-&quot;??.00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2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5"/>
  <sheetViews>
    <sheetView tabSelected="1" zoomScaleSheetLayoutView="60" workbookViewId="0">
      <selection activeCell="A21" sqref="A21"/>
    </sheetView>
  </sheetViews>
  <sheetFormatPr defaultColWidth="9.81818181818182" defaultRowHeight="14.5"/>
  <cols>
    <col min="1" max="1" width="17.0909090909091" customWidth="1"/>
    <col min="2" max="5" width="12.8181818181818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0</v>
      </c>
      <c r="G1" t="s">
        <v>1</v>
      </c>
      <c r="H1" t="s">
        <v>2</v>
      </c>
      <c r="I1" t="s">
        <v>3</v>
      </c>
    </row>
    <row r="2" hidden="1" spans="1:9">
      <c r="A2" t="s">
        <v>4</v>
      </c>
      <c r="B2">
        <v>0.0200658797481117</v>
      </c>
      <c r="C2">
        <v>0.00288779281720438</v>
      </c>
      <c r="D2">
        <v>0.0196965205007021</v>
      </c>
      <c r="E2">
        <v>0.0453754095118402</v>
      </c>
    </row>
    <row r="3" spans="1:9">
      <c r="A3" s="1" t="s">
        <v>5</v>
      </c>
      <c r="B3" s="1">
        <v>0.0205662740875567</v>
      </c>
      <c r="C3" s="1">
        <v>0.00298467733290019</v>
      </c>
      <c r="D3" s="1">
        <v>0.0197440856788297</v>
      </c>
      <c r="E3" s="1">
        <v>0.045377728140017</v>
      </c>
      <c r="F3" s="2">
        <f>B3/B$2</f>
        <v>1.02493757292112</v>
      </c>
      <c r="G3" s="2">
        <f>C3/C$2</f>
        <v>1.03354967680459</v>
      </c>
      <c r="H3" s="2">
        <f>D3/D$2</f>
        <v>1.00241490257764</v>
      </c>
      <c r="I3" s="2">
        <f>E3/E$2</f>
        <v>1.0000510987824</v>
      </c>
    </row>
    <row r="4" spans="1:9">
      <c r="A4" s="1" t="s">
        <v>6</v>
      </c>
      <c r="B4" s="1">
        <v>0.0204391511102722</v>
      </c>
      <c r="C4" s="1">
        <v>0.00289441469436514</v>
      </c>
      <c r="D4" s="1">
        <v>0.0205642965178741</v>
      </c>
      <c r="E4" s="1">
        <v>0.046937885941673</v>
      </c>
      <c r="F4" s="2">
        <f>B4/B$2</f>
        <v>1.01860229239117</v>
      </c>
      <c r="G4" s="2">
        <f>C4/C$2</f>
        <v>1.00229305825588</v>
      </c>
      <c r="H4" s="2">
        <f>D4/D$2</f>
        <v>1.04405732561449</v>
      </c>
      <c r="I4" s="2">
        <f>E4/E$2</f>
        <v>1.03443443148265</v>
      </c>
    </row>
    <row r="5" hidden="1" spans="1:9">
      <c r="A5" t="s">
        <v>7</v>
      </c>
      <c r="B5">
        <v>0.0231829430715283</v>
      </c>
      <c r="C5">
        <v>0.00361595556505469</v>
      </c>
      <c r="D5">
        <v>0.0197956374477623</v>
      </c>
      <c r="E5">
        <v>0.0455499433630512</v>
      </c>
      <c r="F5" s="3"/>
      <c r="G5" s="3"/>
      <c r="H5" s="3"/>
      <c r="I5" s="3"/>
    </row>
    <row r="6" spans="1:9">
      <c r="A6" t="s">
        <v>8</v>
      </c>
      <c r="B6">
        <v>0.0268088586821884</v>
      </c>
      <c r="C6">
        <v>0.00408682520387903</v>
      </c>
      <c r="D6">
        <v>0.0198755492319876</v>
      </c>
      <c r="E6">
        <v>0.0455864082401803</v>
      </c>
      <c r="F6" s="4">
        <f>B6/B$5</f>
        <v>1.15640445647788</v>
      </c>
      <c r="G6" s="4">
        <f>C6/C$5</f>
        <v>1.13021997376708</v>
      </c>
      <c r="H6" s="4">
        <f>D6/D$5</f>
        <v>1.00403683813851</v>
      </c>
      <c r="I6" s="4">
        <f>E6/E$5</f>
        <v>1.00080054714533</v>
      </c>
    </row>
    <row r="7" spans="1:9">
      <c r="A7" t="s">
        <v>9</v>
      </c>
      <c r="B7">
        <v>0.0236273430318356</v>
      </c>
      <c r="C7">
        <v>0.00362038529312948</v>
      </c>
      <c r="D7">
        <v>0.0209126367539106</v>
      </c>
      <c r="E7">
        <v>0.047497540528827</v>
      </c>
      <c r="F7" s="4">
        <f>B7/B$5</f>
        <v>1.01916926418428</v>
      </c>
      <c r="G7" s="4">
        <f>C7/C$5</f>
        <v>1.00122505047285</v>
      </c>
      <c r="H7" s="4">
        <f>D7/D$5</f>
        <v>1.05642653888241</v>
      </c>
      <c r="I7" s="4">
        <f>E7/E$5</f>
        <v>1.04275740038254</v>
      </c>
    </row>
    <row r="8" hidden="1" spans="1:9">
      <c r="A8" t="s">
        <v>10</v>
      </c>
      <c r="B8">
        <v>0.0114906246733251</v>
      </c>
      <c r="C8">
        <v>0.00257527748608284</v>
      </c>
      <c r="D8">
        <v>0.00474395152407903</v>
      </c>
      <c r="E8">
        <v>0.0104284973373422</v>
      </c>
      <c r="F8" s="5"/>
      <c r="G8" s="5"/>
      <c r="H8" s="5"/>
      <c r="I8" s="5"/>
    </row>
    <row r="9" spans="1:9">
      <c r="A9" s="1" t="s">
        <v>11</v>
      </c>
      <c r="B9" s="1">
        <v>0.0142697317498462</v>
      </c>
      <c r="C9" s="1">
        <v>0.0026522614141387</v>
      </c>
      <c r="D9" s="1">
        <v>0.00596211161092029</v>
      </c>
      <c r="E9" s="1">
        <v>0.0119601514968475</v>
      </c>
      <c r="F9" s="2">
        <f>B9/B$8</f>
        <v>1.24185865917043</v>
      </c>
      <c r="G9" s="2">
        <f>C9/C$8</f>
        <v>1.02989344972411</v>
      </c>
      <c r="H9" s="2">
        <f>D9/D$8</f>
        <v>1.25678173157087</v>
      </c>
      <c r="I9" s="2">
        <f>E9/E$8</f>
        <v>1.14687199027426</v>
      </c>
    </row>
    <row r="10" spans="1:9">
      <c r="A10" s="1" t="s">
        <v>12</v>
      </c>
      <c r="B10" s="1">
        <v>0.0114908668630339</v>
      </c>
      <c r="C10" s="1">
        <v>0.00257515086813995</v>
      </c>
      <c r="D10" s="1">
        <v>0.00474406154862502</v>
      </c>
      <c r="E10" s="1">
        <v>0.0104284736116546</v>
      </c>
      <c r="F10" s="2">
        <f>B10/B$8</f>
        <v>1.00002107715774</v>
      </c>
      <c r="G10" s="2">
        <f>C10/C$8</f>
        <v>0.999950833281627</v>
      </c>
      <c r="H10" s="2">
        <f>D10/D$8</f>
        <v>1.00002319259491</v>
      </c>
      <c r="I10" s="2">
        <f>E10/E$8</f>
        <v>0.999997724917902</v>
      </c>
    </row>
    <row r="11" hidden="1" spans="1:9">
      <c r="A11" t="s">
        <v>13</v>
      </c>
      <c r="B11">
        <v>0.0161533938633486</v>
      </c>
      <c r="C11">
        <v>0.00335120270246357</v>
      </c>
      <c r="D11">
        <v>0.00661991757406131</v>
      </c>
      <c r="E11">
        <v>0.0137724286885815</v>
      </c>
      <c r="F11" s="5"/>
      <c r="G11" s="5"/>
      <c r="H11" s="5"/>
      <c r="I11" s="5"/>
    </row>
    <row r="12" spans="1:9">
      <c r="A12" t="s">
        <v>14</v>
      </c>
      <c r="B12">
        <v>0.0275106461766389</v>
      </c>
      <c r="C12">
        <v>0.00386331880603207</v>
      </c>
      <c r="D12">
        <v>0.0101402276985022</v>
      </c>
      <c r="E12">
        <v>0.0187765601767547</v>
      </c>
      <c r="F12" s="4">
        <f>B12/B$11</f>
        <v>1.70308768605336</v>
      </c>
      <c r="G12" s="4">
        <f>C12/C$11</f>
        <v>1.152815615478</v>
      </c>
      <c r="H12" s="4">
        <f>D12/D$11</f>
        <v>1.53177552213557</v>
      </c>
      <c r="I12" s="4">
        <f>E12/E$11</f>
        <v>1.36334415674427</v>
      </c>
    </row>
    <row r="13" spans="1:9">
      <c r="A13" t="s">
        <v>15</v>
      </c>
      <c r="B13">
        <v>0.0161713550942535</v>
      </c>
      <c r="C13">
        <v>0.00335508129439805</v>
      </c>
      <c r="D13">
        <v>0.00662859295099946</v>
      </c>
      <c r="E13">
        <v>0.013789358091513</v>
      </c>
      <c r="F13" s="4">
        <f>B13/B$11</f>
        <v>1.00111191685517</v>
      </c>
      <c r="G13" s="4">
        <f>C13/C$11</f>
        <v>1.00115737312208</v>
      </c>
      <c r="H13" s="4">
        <f>D13/D$11</f>
        <v>1.00131049621707</v>
      </c>
      <c r="I13" s="4">
        <f>E13/E$11</f>
        <v>1.0012292242214</v>
      </c>
    </row>
    <row r="14" hidden="1" spans="1:9">
      <c r="A14" t="s">
        <v>16</v>
      </c>
      <c r="B14">
        <v>0.0136996902141305</v>
      </c>
      <c r="C14">
        <v>0.00264276367693101</v>
      </c>
      <c r="D14">
        <v>0.00901097810997953</v>
      </c>
      <c r="E14">
        <v>0.0190837397093364</v>
      </c>
      <c r="F14" s="3"/>
      <c r="G14" s="3"/>
      <c r="H14" s="3"/>
      <c r="I14" s="3"/>
    </row>
    <row r="15" spans="1:9">
      <c r="A15" s="1" t="s">
        <v>17</v>
      </c>
      <c r="B15" s="1">
        <v>0.0165494154646903</v>
      </c>
      <c r="C15" s="1">
        <v>0.00273832581064354</v>
      </c>
      <c r="D15" s="1">
        <v>0.0100447657448395</v>
      </c>
      <c r="E15" s="1">
        <v>0.020412859025875</v>
      </c>
      <c r="F15" s="2">
        <f>B15/B$14</f>
        <v>1.20801384600803</v>
      </c>
      <c r="G15" s="2">
        <f>C15/C$14</f>
        <v>1.0361599240018</v>
      </c>
      <c r="H15" s="2">
        <f>D15/D$14</f>
        <v>1.11472535192545</v>
      </c>
      <c r="I15" s="2">
        <f>E15/E$14</f>
        <v>1.0696466906792</v>
      </c>
    </row>
    <row r="16" spans="1:9">
      <c r="A16" s="1" t="s">
        <v>18</v>
      </c>
      <c r="B16" s="1">
        <v>0.0140350501475783</v>
      </c>
      <c r="C16" s="1">
        <v>0.00264402712048289</v>
      </c>
      <c r="D16" s="1">
        <v>0.00922767907661018</v>
      </c>
      <c r="E16" s="1">
        <v>0.019599567412916</v>
      </c>
      <c r="F16" s="2">
        <f>B16/B$14</f>
        <v>1.02447938078935</v>
      </c>
      <c r="G16" s="2">
        <f>C16/C$14</f>
        <v>1.00047807662974</v>
      </c>
      <c r="H16" s="2">
        <f>D16/D$14</f>
        <v>1.02404855099921</v>
      </c>
      <c r="I16" s="2">
        <f>E16/E$14</f>
        <v>1.02702969708433</v>
      </c>
    </row>
    <row r="17" hidden="1" spans="1:9">
      <c r="A17" t="s">
        <v>19</v>
      </c>
      <c r="B17">
        <v>0.017826446474229</v>
      </c>
      <c r="C17">
        <v>0.00340689048034298</v>
      </c>
      <c r="D17">
        <v>0.0108632028162075</v>
      </c>
      <c r="E17">
        <v>0.0216827140043168</v>
      </c>
      <c r="F17" s="5"/>
      <c r="G17" s="5"/>
      <c r="H17" s="5"/>
      <c r="I17" s="5"/>
    </row>
    <row r="18" spans="1:9">
      <c r="A18" t="s">
        <v>20</v>
      </c>
      <c r="B18">
        <v>0.0289823244754724</v>
      </c>
      <c r="C18">
        <v>0.00395762663683032</v>
      </c>
      <c r="D18">
        <v>0.0136328630325589</v>
      </c>
      <c r="E18">
        <v>0.0260002423124226</v>
      </c>
      <c r="F18" s="4">
        <f>B18/B$17</f>
        <v>1.62580492513587</v>
      </c>
      <c r="G18" s="4">
        <f>C18/C$17</f>
        <v>1.16165361336532</v>
      </c>
      <c r="H18" s="4">
        <f>D18/D$17</f>
        <v>1.25495797723846</v>
      </c>
      <c r="I18" s="4">
        <f>E18/E$17</f>
        <v>1.19912305753082</v>
      </c>
    </row>
    <row r="19" spans="1:9">
      <c r="A19" t="s">
        <v>21</v>
      </c>
      <c r="B19">
        <v>0.0184623254641839</v>
      </c>
      <c r="C19">
        <v>0.00341396521501179</v>
      </c>
      <c r="D19">
        <v>0.0111336165025083</v>
      </c>
      <c r="E19">
        <v>0.0224573940721204</v>
      </c>
      <c r="F19" s="4">
        <f>B19/B$17</f>
        <v>1.03567054100626</v>
      </c>
      <c r="G19" s="4">
        <f>C19/C$17</f>
        <v>1.00207659586054</v>
      </c>
      <c r="H19" s="4">
        <f>D19/D$17</f>
        <v>1.02489262981423</v>
      </c>
      <c r="I19" s="4">
        <f>E19/E$17</f>
        <v>1.03572800285284</v>
      </c>
    </row>
    <row r="20" hidden="1" spans="1:9">
      <c r="A20" t="s">
        <v>22</v>
      </c>
      <c r="B20">
        <v>0.0158303977686597</v>
      </c>
      <c r="C20">
        <v>0.0027279326518646</v>
      </c>
      <c r="D20">
        <v>0.01363228859913</v>
      </c>
      <c r="E20">
        <v>0.0291853306591671</v>
      </c>
      <c r="F20" s="5"/>
      <c r="G20" s="5"/>
      <c r="H20" s="5"/>
      <c r="I20" s="5"/>
    </row>
    <row r="21" spans="1:9">
      <c r="A21" s="1" t="s">
        <v>23</v>
      </c>
      <c r="B21" s="1">
        <v>0.0188884174900533</v>
      </c>
      <c r="C21" s="1">
        <v>0.00282167146754791</v>
      </c>
      <c r="D21" s="1">
        <v>0.0146381446088282</v>
      </c>
      <c r="E21" s="1">
        <v>0.0305005028583096</v>
      </c>
      <c r="F21" s="2">
        <f>B21/B$20</f>
        <v>1.19317390289761</v>
      </c>
      <c r="G21" s="2">
        <f>C21/C$20</f>
        <v>1.0343625842886</v>
      </c>
      <c r="H21" s="2">
        <f>D21/D$20</f>
        <v>1.07378482361079</v>
      </c>
      <c r="I21" s="2">
        <f>E21/E$20</f>
        <v>1.04506278220731</v>
      </c>
    </row>
    <row r="22" spans="1:9">
      <c r="A22" s="1" t="s">
        <v>24</v>
      </c>
      <c r="B22" s="1">
        <v>0.0167084381859632</v>
      </c>
      <c r="C22" s="1">
        <v>0.00272516482498398</v>
      </c>
      <c r="D22" s="1">
        <v>0.0143849235289467</v>
      </c>
      <c r="E22" s="1">
        <v>0.0304679851430052</v>
      </c>
      <c r="F22" s="2">
        <f>B22/B$20</f>
        <v>1.05546546777503</v>
      </c>
      <c r="G22" s="2">
        <f>C22/C$20</f>
        <v>0.99898537565481</v>
      </c>
      <c r="H22" s="2">
        <f>D22/D$20</f>
        <v>1.05520972684401</v>
      </c>
      <c r="I22" s="2">
        <f>E22/E$20</f>
        <v>1.04394860208429</v>
      </c>
    </row>
    <row r="23" hidden="1" spans="1:9">
      <c r="A23" t="s">
        <v>25</v>
      </c>
      <c r="B23">
        <v>0.0195617194962852</v>
      </c>
      <c r="C23">
        <v>0.00347235237246835</v>
      </c>
      <c r="D23">
        <v>0.0152147803998188</v>
      </c>
      <c r="E23">
        <v>0.0313038839214279</v>
      </c>
      <c r="F23" s="5"/>
      <c r="G23" s="5"/>
      <c r="H23" s="5"/>
      <c r="I23" s="5"/>
    </row>
    <row r="24" spans="1:9">
      <c r="A24" t="s">
        <v>26</v>
      </c>
      <c r="B24">
        <v>0.0314860041943956</v>
      </c>
      <c r="C24">
        <v>0.00404173622323519</v>
      </c>
      <c r="D24">
        <v>0.0178596646358763</v>
      </c>
      <c r="E24">
        <v>0.0356570384879062</v>
      </c>
      <c r="F24" s="4">
        <f>B24/B$23</f>
        <v>1.60957242027598</v>
      </c>
      <c r="G24" s="4">
        <f>C24/C$23</f>
        <v>1.16397640264893</v>
      </c>
      <c r="H24" s="4">
        <f>D24/D$23</f>
        <v>1.17383650414626</v>
      </c>
      <c r="I24" s="4">
        <f>E24/E$23</f>
        <v>1.13906116497891</v>
      </c>
    </row>
    <row r="25" spans="1:9">
      <c r="A25" t="s">
        <v>27</v>
      </c>
      <c r="B25">
        <v>0.0211536071079989</v>
      </c>
      <c r="C25">
        <v>0.00347716666389139</v>
      </c>
      <c r="D25">
        <v>0.016030910455387</v>
      </c>
      <c r="E25">
        <v>0.0328147949416355</v>
      </c>
      <c r="F25" s="4">
        <f>B25/B$23</f>
        <v>1.0813776934086</v>
      </c>
      <c r="G25" s="4">
        <f>C25/C$23</f>
        <v>1.00138646396063</v>
      </c>
      <c r="H25" s="4">
        <f>D25/D$23</f>
        <v>1.05364060697044</v>
      </c>
      <c r="I25" s="4">
        <f>E25/E$23</f>
        <v>1.04826592840684</v>
      </c>
    </row>
  </sheetData>
  <autoFilter xmlns:etc="http://www.wps.cn/officeDocument/2017/etCustomData" ref="A1:I25" etc:filterBottomFollowUsedRange="0">
    <filterColumn colId="0">
      <filters>
        <filter val="m2.beta.if.s2.pop"/>
        <filter val="m1.beta.if.s2.pop"/>
        <filter val="r.beta.if.s2.pop"/>
        <filter val="f.beta.if.s2.pop"/>
        <filter val="m1.beta.if.S.pop"/>
        <filter val="m2.beta.if.S.pop"/>
        <filter val="r.beta.if.S.pop"/>
        <filter val="f.beta.if.S.pop"/>
        <filter val="m1.beta.if.s2"/>
        <filter val="m2.beta.if.s2"/>
        <filter val="r.beta.if.s2"/>
        <filter val="f.beta.if.s2"/>
        <filter val="r.beta.if.S"/>
        <filter val="f.beta.if.S"/>
        <filter val="m1.beta.if.S"/>
        <filter val="m2.beta.if.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beta_empirical_variances_fit_1_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dcterms:created xsi:type="dcterms:W3CDTF">2026-05-07T08:37:03Z</dcterms:created>
  <dcterms:modified xsi:type="dcterms:W3CDTF">2026-05-09T05:49:07Z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B79B2EDCB98E446198F683B28568514A_13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