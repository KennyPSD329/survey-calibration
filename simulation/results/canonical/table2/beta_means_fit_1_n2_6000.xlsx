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00"/>
  </bookViews>
  <sheets>
    <sheet name="beta_means_fit_1_n2_6000" sheetId="1" r:id="rId1"/>
  </sheets>
  <definedNames>
    <definedName name="_xlnm._FilterDatabase" localSheetId="0" hidden="1">beta_means_fit_1_n2_6000!$A$1:$I$25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<sst xmlns="http://schemas.openxmlformats.org/spreadsheetml/2006/main" count="32" uniqueCount="28">
  <si>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beta.x1</t>
  </si>
  <si>
    <t>beta.x2</t>
  </si>
  <si>
    <t>beta.x3</t>
  </si>
  <si>
    <t>beta.x1:x3</t>
  </si>
  <si>
    <t>r.beta.i</t>
  </si>
  <si>
    <t>r.beta.if.S</t>
  </si>
  <si>
    <t>r.beta.if.S.pop</t>
  </si>
  <si>
    <t>r.beta.s</t>
  </si>
  <si>
    <t>r.beta.if.s2</t>
  </si>
  <si>
    <t>r.beta.if.s2.pop</t>
  </si>
  <si>
    <t>f.beta.i</t>
  </si>
  <si>
    <t>f.beta.if.S</t>
  </si>
  <si>
    <t>f.beta.if.S.pop</t>
  </si>
  <si>
    <t>f.beta.s</t>
  </si>
  <si>
    <t>f.beta.if.s2</t>
  </si>
  <si>
    <t>f.beta.if.s2.pop</t>
  </si>
  <si>
    <t>m1.beta.i</t>
  </si>
  <si>
    <t>m1.beta.if.S</t>
  </si>
  <si>
    <t>m1.beta.if.S.pop</t>
  </si>
  <si>
    <t>m1.beta.s</t>
  </si>
  <si>
    <t>m1.beta.if.s2</t>
  </si>
  <si>
    <t>m1.beta.if.s2.pop</t>
  </si>
  <si>
    <t>m2.beta.i</t>
  </si>
  <si>
    <t>m2.beta.if.S</t>
  </si>
  <si>
    <t>m2.beta.if.S.pop</t>
  </si>
  <si>
    <t>m2.beta.s</t>
  </si>
  <si>
    <t>m2.beta.if.s2</t>
  </si>
  <si>
    <t>m2.beta.if.s2.pop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</si>
</sst>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rgb="FF000000"/>
      <name val="Lucida Consol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0" fontId="0" fillId="0" borderId="0" xfId="3" applyNumberFormat="1">
      <alignment vertical="center"/>
    </xf>
    <xf numFmtId="0" fontId="0" fillId="2" borderId="0" xfId="0" applyFill="1">
      <alignment vertical="center"/>
    </xf>
    <xf numFmtId="10" fontId="0" fillId="2" borderId="0" xfId="3" applyNumberFormat="1" applyFill="1">
      <alignment vertical="center"/>
    </xf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27"/>
  <sheetViews>
    <sheetView tabSelected="1" zoomScaleSheetLayoutView="60" workbookViewId="0">
      <selection activeCell="F9" sqref="F9"/>
    </sheetView>
  </sheetViews>
  <sheetFormatPr defaultColWidth="9.81818181818182" defaultRowHeight="14.5"/>
  <cols>
    <col min="1" max="1" width="17.0909090909091" customWidth="1"/>
    <col min="2" max="5" width="12.8181818181818"/>
    <col min="9" max="9" width="10.2727272727273" customWidth="1"/>
  </cols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0</v>
      </c>
      <c r="G1" t="s">
        <v>1</v>
      </c>
      <c r="H1" t="s">
        <v>2</v>
      </c>
      <c r="I1" t="s">
        <v>3</v>
      </c>
    </row>
    <row r="2" hidden="1" spans="1:9">
      <c r="A2" t="s">
        <v>4</v>
      </c>
      <c r="B2">
        <v>1.00442403092924</v>
      </c>
      <c r="C2">
        <v>0.492060714797353</v>
      </c>
      <c r="D2">
        <v>0.489048763898393</v>
      </c>
      <c r="E2">
        <v>0.194821308258082</v>
      </c>
      <c r="F2" s="1">
        <f t="shared" ref="F2:F25" si="0">(B2-B$27)/B$27</f>
        <v>-0.00475018189406046</v>
      </c>
      <c r="G2" s="1">
        <f t="shared" ref="G2:G25" si="1">(C2-C$27)/C$27</f>
        <v>-0.00132041867650892</v>
      </c>
      <c r="H2" s="1">
        <f t="shared" ref="H2:H25" si="2">(D2-D$27)/D$27</f>
        <v>-0.00271551656959978</v>
      </c>
      <c r="I2" s="1">
        <f t="shared" ref="I2:I25" si="3">(E2-E$27)/E$27</f>
        <v>0.0266391534530246</v>
      </c>
    </row>
    <row r="3" spans="1:9">
      <c r="A3" s="2" t="s">
        <v>5</v>
      </c>
      <c r="B3" s="2">
        <v>0.999483658719994</v>
      </c>
      <c r="C3" s="2">
        <v>0.488810936263523</v>
      </c>
      <c r="D3" s="2">
        <v>0.489022600393787</v>
      </c>
      <c r="E3" s="2">
        <v>0.194664153553002</v>
      </c>
      <c r="F3" s="3">
        <f t="shared" si="0"/>
        <v>-0.00964542970894885</v>
      </c>
      <c r="G3" s="3">
        <f t="shared" si="1"/>
        <v>-0.00791612397864025</v>
      </c>
      <c r="H3" s="3">
        <f t="shared" si="2"/>
        <v>-0.00276887005723111</v>
      </c>
      <c r="I3" s="3">
        <f t="shared" si="3"/>
        <v>0.0258110039306389</v>
      </c>
    </row>
    <row r="4" spans="1:9">
      <c r="A4" s="2" t="s">
        <v>6</v>
      </c>
      <c r="B4" s="2">
        <v>1.00479553394983</v>
      </c>
      <c r="C4" s="2">
        <v>0.492057979948751</v>
      </c>
      <c r="D4" s="2">
        <v>0.489213788956556</v>
      </c>
      <c r="E4" s="2">
        <v>0.194266667214964</v>
      </c>
      <c r="F4" s="3">
        <f t="shared" si="0"/>
        <v>-0.00438207210946489</v>
      </c>
      <c r="G4" s="3">
        <f t="shared" si="1"/>
        <v>-0.00132596928718505</v>
      </c>
      <c r="H4" s="3">
        <f t="shared" si="2"/>
        <v>-0.00237899198957383</v>
      </c>
      <c r="I4" s="3">
        <f t="shared" si="3"/>
        <v>0.0237163919950086</v>
      </c>
    </row>
    <row r="5" hidden="1" spans="1:9">
      <c r="A5" t="s">
        <v>7</v>
      </c>
      <c r="B5">
        <v>1.00569785346443</v>
      </c>
      <c r="C5">
        <v>0.494399953519402</v>
      </c>
      <c r="D5">
        <v>0.489026180314238</v>
      </c>
      <c r="E5">
        <v>0.194844296091709</v>
      </c>
      <c r="F5" s="1">
        <f t="shared" si="0"/>
        <v>-0.00348799420498829</v>
      </c>
      <c r="G5" s="1">
        <f t="shared" si="1"/>
        <v>0.00342726769084047</v>
      </c>
      <c r="H5" s="1">
        <f t="shared" si="2"/>
        <v>-0.00276156976453788</v>
      </c>
      <c r="I5" s="1">
        <f t="shared" si="3"/>
        <v>0.0267602911779765</v>
      </c>
    </row>
    <row r="6" spans="1:9">
      <c r="A6" t="s">
        <v>8</v>
      </c>
      <c r="B6">
        <v>0.997351713660047</v>
      </c>
      <c r="C6">
        <v>0.488661644445701</v>
      </c>
      <c r="D6">
        <v>0.488994905874809</v>
      </c>
      <c r="E6">
        <v>0.194571992879418</v>
      </c>
      <c r="F6" s="1">
        <f t="shared" si="0"/>
        <v>-0.0117579019993231</v>
      </c>
      <c r="G6" s="1">
        <f t="shared" si="1"/>
        <v>-0.00821912457518031</v>
      </c>
      <c r="H6" s="1">
        <f t="shared" si="2"/>
        <v>-0.00282534564022341</v>
      </c>
      <c r="I6" s="1">
        <f t="shared" si="3"/>
        <v>0.025325349888194</v>
      </c>
    </row>
    <row r="7" spans="1:9">
      <c r="A7" t="s">
        <v>9</v>
      </c>
      <c r="B7">
        <v>1.00623363045249</v>
      </c>
      <c r="C7">
        <v>0.494395005707115</v>
      </c>
      <c r="D7">
        <v>0.489250891536732</v>
      </c>
      <c r="E7">
        <v>0.194039878405393</v>
      </c>
      <c r="F7" s="1">
        <f t="shared" si="0"/>
        <v>-0.00295711089924082</v>
      </c>
      <c r="G7" s="1">
        <f t="shared" si="1"/>
        <v>0.00341722567985544</v>
      </c>
      <c r="H7" s="1">
        <f t="shared" si="2"/>
        <v>-0.00230333117569132</v>
      </c>
      <c r="I7" s="1">
        <f t="shared" si="3"/>
        <v>0.0225212954547361</v>
      </c>
    </row>
    <row r="8" hidden="1" spans="1:9">
      <c r="A8" t="s">
        <v>10</v>
      </c>
      <c r="B8">
        <v>1.00971858881231</v>
      </c>
      <c r="C8">
        <v>0.491373661033391</v>
      </c>
      <c r="D8">
        <v>0.491263587348981</v>
      </c>
      <c r="E8">
        <v>0.18473264240982</v>
      </c>
      <c r="F8" s="1">
        <f t="shared" si="0"/>
        <v>0.000496016531918739</v>
      </c>
      <c r="G8" s="1">
        <f t="shared" si="1"/>
        <v>-0.00271485343772113</v>
      </c>
      <c r="H8" s="1">
        <f t="shared" si="2"/>
        <v>0.00180102497771326</v>
      </c>
      <c r="I8" s="1">
        <f t="shared" si="3"/>
        <v>-0.0265245351523796</v>
      </c>
    </row>
    <row r="9" spans="1:9">
      <c r="A9" s="2" t="s">
        <v>11</v>
      </c>
      <c r="B9" s="2">
        <v>1.00386184084872</v>
      </c>
      <c r="C9" s="2">
        <v>0.486329429337875</v>
      </c>
      <c r="D9" s="2">
        <v>0.486754997875939</v>
      </c>
      <c r="E9" s="2">
        <v>0.177673125414062</v>
      </c>
      <c r="F9" s="3">
        <f t="shared" si="0"/>
        <v>-0.00530723704024289</v>
      </c>
      <c r="G9" s="3">
        <f t="shared" si="1"/>
        <v>-0.0129525559128135</v>
      </c>
      <c r="H9" s="3">
        <f t="shared" si="2"/>
        <v>-0.00739304043159348</v>
      </c>
      <c r="I9" s="3">
        <f t="shared" si="3"/>
        <v>-0.0637256843342304</v>
      </c>
    </row>
    <row r="10" spans="1:9">
      <c r="A10" s="2" t="s">
        <v>12</v>
      </c>
      <c r="B10" s="2">
        <v>1.00971958630465</v>
      </c>
      <c r="C10" s="2">
        <v>0.49137270396689</v>
      </c>
      <c r="D10" s="2">
        <v>0.49126441057319</v>
      </c>
      <c r="E10" s="2">
        <v>0.18473178974913</v>
      </c>
      <c r="F10" s="3">
        <f t="shared" si="0"/>
        <v>0.000497004913358685</v>
      </c>
      <c r="G10" s="3">
        <f t="shared" si="1"/>
        <v>-0.00271679588657707</v>
      </c>
      <c r="H10" s="3">
        <f t="shared" si="2"/>
        <v>0.00180270372386414</v>
      </c>
      <c r="I10" s="3">
        <f t="shared" si="3"/>
        <v>-0.0265290283716112</v>
      </c>
    </row>
    <row r="11" hidden="1" spans="1:9">
      <c r="A11" t="s">
        <v>13</v>
      </c>
      <c r="B11">
        <v>1.01289631932016</v>
      </c>
      <c r="C11">
        <v>0.49387046488883</v>
      </c>
      <c r="D11">
        <v>0.492822339400467</v>
      </c>
      <c r="E11">
        <v>0.182767268543679</v>
      </c>
      <c r="F11" s="1">
        <f t="shared" si="0"/>
        <v>0.00364472227027279</v>
      </c>
      <c r="G11" s="1">
        <f t="shared" si="1"/>
        <v>0.00235262493234882</v>
      </c>
      <c r="H11" s="1">
        <f t="shared" si="2"/>
        <v>0.00497968393611775</v>
      </c>
      <c r="I11" s="1">
        <f t="shared" si="3"/>
        <v>-0.0368813579259994</v>
      </c>
    </row>
    <row r="12" spans="1:9">
      <c r="A12" t="s">
        <v>14</v>
      </c>
      <c r="B12">
        <v>1.002824935341</v>
      </c>
      <c r="C12">
        <v>0.485035457801739</v>
      </c>
      <c r="D12">
        <v>0.485024253367975</v>
      </c>
      <c r="E12">
        <v>0.170273328493177</v>
      </c>
      <c r="F12" s="1">
        <f t="shared" si="0"/>
        <v>-0.00633467165567799</v>
      </c>
      <c r="G12" s="1">
        <f t="shared" si="1"/>
        <v>-0.0155787825411372</v>
      </c>
      <c r="H12" s="1">
        <f t="shared" si="2"/>
        <v>-0.0109224321200949</v>
      </c>
      <c r="I12" s="1">
        <f t="shared" si="3"/>
        <v>-0.102719987957928</v>
      </c>
    </row>
    <row r="13" spans="1:9">
      <c r="A13" t="s">
        <v>15</v>
      </c>
      <c r="B13">
        <v>1.01291703012314</v>
      </c>
      <c r="C13">
        <v>0.493865506241071</v>
      </c>
      <c r="D13">
        <v>0.492862685031892</v>
      </c>
      <c r="E13">
        <v>0.18273186139403</v>
      </c>
      <c r="F13" s="1">
        <f t="shared" si="0"/>
        <v>0.00366524390482542</v>
      </c>
      <c r="G13" s="1">
        <f t="shared" si="1"/>
        <v>0.00234256092984063</v>
      </c>
      <c r="H13" s="1">
        <f t="shared" si="2"/>
        <v>0.00506195808782736</v>
      </c>
      <c r="I13" s="1">
        <f t="shared" si="3"/>
        <v>-0.0370679410388367</v>
      </c>
    </row>
    <row r="14" hidden="1" spans="1:9">
      <c r="A14" t="s">
        <v>16</v>
      </c>
      <c r="B14">
        <v>1.00877648793641</v>
      </c>
      <c r="C14">
        <v>0.49162339258675</v>
      </c>
      <c r="D14">
        <v>0.487420975108323</v>
      </c>
      <c r="E14">
        <v>0.187544890119681</v>
      </c>
      <c r="F14" s="1">
        <f t="shared" si="0"/>
        <v>-0.000437479378677242</v>
      </c>
      <c r="G14" s="1">
        <f t="shared" si="1"/>
        <v>-0.00220800175122845</v>
      </c>
      <c r="H14" s="1">
        <f t="shared" si="2"/>
        <v>-0.00603495753842731</v>
      </c>
      <c r="I14" s="1">
        <f t="shared" si="3"/>
        <v>-0.0117049877734695</v>
      </c>
    </row>
    <row r="15" spans="1:9">
      <c r="A15" s="2" t="s">
        <v>17</v>
      </c>
      <c r="B15" s="2">
        <v>1.00193697070692</v>
      </c>
      <c r="C15" s="2">
        <v>0.486720306433007</v>
      </c>
      <c r="D15" s="2">
        <v>0.485972912030845</v>
      </c>
      <c r="E15" s="2">
        <v>0.182094057180038</v>
      </c>
      <c r="F15" s="3">
        <f t="shared" si="0"/>
        <v>-0.00721452579430812</v>
      </c>
      <c r="G15" s="3">
        <f t="shared" si="1"/>
        <v>-0.0121592371983208</v>
      </c>
      <c r="H15" s="3">
        <f t="shared" si="2"/>
        <v>-0.00898789586442489</v>
      </c>
      <c r="I15" s="3">
        <f t="shared" si="3"/>
        <v>-0.0404289428931827</v>
      </c>
    </row>
    <row r="16" spans="1:9">
      <c r="A16" s="2" t="s">
        <v>18</v>
      </c>
      <c r="B16" s="2">
        <v>1.00784936772588</v>
      </c>
      <c r="C16" s="2">
        <v>0.491325470191806</v>
      </c>
      <c r="D16" s="2">
        <v>0.489563856219339</v>
      </c>
      <c r="E16" s="2">
        <v>0.187246165729326</v>
      </c>
      <c r="F16" s="3">
        <f t="shared" si="0"/>
        <v>-0.00135613145437357</v>
      </c>
      <c r="G16" s="3">
        <f t="shared" si="1"/>
        <v>-0.00281266089938269</v>
      </c>
      <c r="H16" s="3">
        <f t="shared" si="2"/>
        <v>-0.00166512319958339</v>
      </c>
      <c r="I16" s="3">
        <f t="shared" si="3"/>
        <v>-0.0132791592949109</v>
      </c>
    </row>
    <row r="17" hidden="1" spans="1:9">
      <c r="A17" t="s">
        <v>19</v>
      </c>
      <c r="B17">
        <v>1.01177938687374</v>
      </c>
      <c r="C17">
        <v>0.494151585244656</v>
      </c>
      <c r="D17">
        <v>0.48757332254833</v>
      </c>
      <c r="E17">
        <v>0.186008443215584</v>
      </c>
      <c r="F17" s="1">
        <f t="shared" si="0"/>
        <v>0.00253799166655764</v>
      </c>
      <c r="G17" s="1">
        <f t="shared" si="1"/>
        <v>0.00292318289565513</v>
      </c>
      <c r="H17" s="1">
        <f t="shared" si="2"/>
        <v>-0.00572428557844068</v>
      </c>
      <c r="I17" s="1">
        <f t="shared" si="3"/>
        <v>-0.0198015176810611</v>
      </c>
    </row>
    <row r="18" spans="1:9">
      <c r="A18" t="s">
        <v>20</v>
      </c>
      <c r="B18">
        <v>0.999980634084323</v>
      </c>
      <c r="C18">
        <v>0.485818308210059</v>
      </c>
      <c r="D18">
        <v>0.485217701184591</v>
      </c>
      <c r="E18">
        <v>0.175864472505199</v>
      </c>
      <c r="F18" s="1">
        <f t="shared" si="0"/>
        <v>-0.00915299362048331</v>
      </c>
      <c r="G18" s="1">
        <f t="shared" si="1"/>
        <v>-0.0139899202432358</v>
      </c>
      <c r="H18" s="1">
        <f t="shared" si="2"/>
        <v>-0.0105279469069502</v>
      </c>
      <c r="I18" s="1">
        <f t="shared" si="3"/>
        <v>-0.0732566432824462</v>
      </c>
    </row>
    <row r="19" spans="1:9">
      <c r="A19" t="s">
        <v>21</v>
      </c>
      <c r="B19">
        <v>1.01085636874354</v>
      </c>
      <c r="C19">
        <v>0.493846390494847</v>
      </c>
      <c r="D19">
        <v>0.489449456679076</v>
      </c>
      <c r="E19">
        <v>0.185805654483013</v>
      </c>
      <c r="F19" s="1">
        <f t="shared" si="0"/>
        <v>0.00162340420359125</v>
      </c>
      <c r="G19" s="1">
        <f t="shared" si="1"/>
        <v>0.00230376387723805</v>
      </c>
      <c r="H19" s="1">
        <f t="shared" si="2"/>
        <v>-0.00189841054194656</v>
      </c>
      <c r="I19" s="1">
        <f t="shared" si="3"/>
        <v>-0.0208701423330457</v>
      </c>
    </row>
    <row r="20" hidden="1" spans="1:9">
      <c r="A20" t="s">
        <v>22</v>
      </c>
      <c r="B20">
        <v>1.0074157135558</v>
      </c>
      <c r="C20">
        <v>0.492123618706361</v>
      </c>
      <c r="D20">
        <v>0.480883922464954</v>
      </c>
      <c r="E20">
        <v>0.191512791453517</v>
      </c>
      <c r="F20" s="1">
        <f t="shared" si="0"/>
        <v>-0.00178582471200474</v>
      </c>
      <c r="G20" s="1">
        <f t="shared" si="1"/>
        <v>-0.00119274977789023</v>
      </c>
      <c r="H20" s="1">
        <f t="shared" si="2"/>
        <v>-0.0193655324214549</v>
      </c>
      <c r="I20" s="1">
        <f t="shared" si="3"/>
        <v>0.0092044440683399</v>
      </c>
    </row>
    <row r="21" spans="1:9">
      <c r="A21" s="2" t="s">
        <v>23</v>
      </c>
      <c r="B21" s="2">
        <v>1.00034030116308</v>
      </c>
      <c r="C21" s="2">
        <v>0.487945282908042</v>
      </c>
      <c r="D21" s="2">
        <v>0.477528676763172</v>
      </c>
      <c r="E21" s="2">
        <v>0.189006787814189</v>
      </c>
      <c r="F21" s="3">
        <f t="shared" si="0"/>
        <v>-0.00879661167054087</v>
      </c>
      <c r="G21" s="3">
        <f t="shared" si="1"/>
        <v>-0.00967304198616514</v>
      </c>
      <c r="H21" s="3">
        <f t="shared" si="2"/>
        <v>-0.0262076609033069</v>
      </c>
      <c r="I21" s="3">
        <f t="shared" si="3"/>
        <v>-0.00400130574328602</v>
      </c>
    </row>
    <row r="22" spans="1:9">
      <c r="A22" s="2" t="s">
        <v>24</v>
      </c>
      <c r="B22" s="2">
        <v>1.00610997138152</v>
      </c>
      <c r="C22" s="2">
        <v>0.491932068830515</v>
      </c>
      <c r="D22" s="2">
        <v>0.480266942502108</v>
      </c>
      <c r="E22" s="2">
        <v>0.191549067412252</v>
      </c>
      <c r="F22" s="3">
        <f t="shared" si="0"/>
        <v>-0.00307964049242078</v>
      </c>
      <c r="G22" s="3">
        <f t="shared" si="1"/>
        <v>-0.00158151674111194</v>
      </c>
      <c r="H22" s="3">
        <f t="shared" si="2"/>
        <v>-0.0206236984551014</v>
      </c>
      <c r="I22" s="3">
        <f t="shared" si="3"/>
        <v>0.00939560549672469</v>
      </c>
    </row>
    <row r="23" hidden="1" spans="1:9">
      <c r="A23" t="s">
        <v>25</v>
      </c>
      <c r="B23">
        <v>1.00983953907704</v>
      </c>
      <c r="C23">
        <v>0.494755592502892</v>
      </c>
      <c r="D23">
        <v>0.478581246112874</v>
      </c>
      <c r="E23">
        <v>0.190993073157868</v>
      </c>
      <c r="F23" s="1">
        <f t="shared" si="0"/>
        <v>0.000615862060565805</v>
      </c>
      <c r="G23" s="1">
        <f t="shared" si="1"/>
        <v>0.00414906762416857</v>
      </c>
      <c r="H23" s="1">
        <f t="shared" si="2"/>
        <v>-0.0240612265235845</v>
      </c>
      <c r="I23" s="1">
        <f t="shared" si="3"/>
        <v>0.0064657130955846</v>
      </c>
    </row>
    <row r="24" spans="1:9">
      <c r="A24" t="s">
        <v>26</v>
      </c>
      <c r="B24">
        <v>0.997206760098221</v>
      </c>
      <c r="C24">
        <v>0.487513181129557</v>
      </c>
      <c r="D24">
        <v>0.47294750220364</v>
      </c>
      <c r="E24">
        <v>0.185729709664143</v>
      </c>
      <c r="F24" s="1">
        <f t="shared" si="0"/>
        <v>-0.011901531583641</v>
      </c>
      <c r="G24" s="1">
        <f t="shared" si="1"/>
        <v>-0.0105500297444833</v>
      </c>
      <c r="H24" s="1">
        <f t="shared" si="2"/>
        <v>-0.0355497442319472</v>
      </c>
      <c r="I24" s="1">
        <f t="shared" si="3"/>
        <v>-0.0212703445760701</v>
      </c>
    </row>
    <row r="25" spans="1:9">
      <c r="A25" t="s">
        <v>27</v>
      </c>
      <c r="B25">
        <v>1.00885730674409</v>
      </c>
      <c r="C25">
        <v>0.494468101781132</v>
      </c>
      <c r="D25">
        <v>0.478114303748095</v>
      </c>
      <c r="E25">
        <v>0.190692999530958</v>
      </c>
      <c r="F25" s="1">
        <f t="shared" si="0"/>
        <v>-0.000357398754193769</v>
      </c>
      <c r="G25" s="1">
        <f t="shared" si="1"/>
        <v>0.00356558045478552</v>
      </c>
      <c r="H25" s="1">
        <f t="shared" si="2"/>
        <v>-0.0250134309036515</v>
      </c>
      <c r="I25" s="1">
        <f t="shared" si="3"/>
        <v>0.00488443157633533</v>
      </c>
    </row>
    <row r="27" spans="1:9">
      <c r="B27" s="4">
        <v>1.009218</v>
      </c>
      <c r="C27" s="4">
        <v>0.4927113</v>
      </c>
      <c r="D27" s="4">
        <v>0.4903804</v>
      </c>
      <c r="E27" s="4">
        <v>0.1897661</v>
      </c>
    </row>
  </sheetData>
  <autoFilter xmlns:etc="http://www.wps.cn/officeDocument/2017/etCustomData" ref="A1:I25" etc:filterBottomFollowUsedRange="0">
    <filterColumn colId="0">
      <filters>
        <filter val="m2.beta.if.s2.pop"/>
        <filter val="m1.beta.if.s2.pop"/>
        <filter val="r.beta.if.s2.pop"/>
        <filter val="f.beta.if.s2.pop"/>
        <filter val="m1.beta.if.S.pop"/>
        <filter val="m2.beta.if.S.pop"/>
        <filter val="r.beta.if.S.pop"/>
        <filter val="f.beta.if.S.pop"/>
        <filter val="m1.beta.if.s2"/>
        <filter val="m2.beta.if.s2"/>
        <filter val="r.beta.if.s2"/>
        <filter val="f.beta.if.s2"/>
        <filter val="r.beta.if.S"/>
        <filter val="f.beta.if.S"/>
        <filter val="m1.beta.if.S"/>
        <filter val="m2.beta.if.S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beta_means_fit_1_n2_6000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</cp:lastModifiedBy>
  <dcterms:created xsi:type="dcterms:W3CDTF">2026-05-07T08:37:17Z</dcterms:created>
  <dcterms:modified xsi:type="dcterms:W3CDTF">2026-05-09T05:49:17Z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B0D2CF17BB644375A0CFCD5E7A6E4C67_13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